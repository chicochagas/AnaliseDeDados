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TempJornada\Claude\AnaliseDeDados\data\"/>
    </mc:Choice>
  </mc:AlternateContent>
  <xr:revisionPtr revIDLastSave="0" documentId="13_ncr:1_{BF27558D-E786-4CDA-8547-9D4FA74ACF4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endas Tratadas" sheetId="1" r:id="rId1"/>
    <sheet name="Resumo" sheetId="2" r:id="rId2"/>
    <sheet name="Log de Correções" sheetId="3" r:id="rId3"/>
    <sheet name="Pendências" sheetId="4" r:id="rId4"/>
  </sheets>
  <definedNames>
    <definedName name="_xlnm._FilterDatabase" localSheetId="2" hidden="1">'Log de Correções'!$A$1:$F$88</definedName>
    <definedName name="_xlnm._FilterDatabase" localSheetId="0" hidden="1">'Vendas Tratadas'!$A$1:$J$30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2" l="1"/>
  <c r="B18" i="2"/>
  <c r="C17" i="2"/>
  <c r="B17" i="2"/>
  <c r="C16" i="2"/>
  <c r="B16" i="2"/>
  <c r="C15" i="2"/>
  <c r="B15" i="2"/>
  <c r="C14" i="2"/>
  <c r="B14" i="2"/>
  <c r="B19" i="2" s="1"/>
  <c r="B11" i="2"/>
  <c r="B10" i="2"/>
  <c r="B7" i="2"/>
  <c r="B6" i="2"/>
  <c r="B8" i="2" s="1"/>
  <c r="B5" i="2"/>
  <c r="B9" i="2" s="1"/>
  <c r="B4" i="2"/>
  <c r="B3" i="2"/>
  <c r="C19" i="2" l="1"/>
</calcChain>
</file>

<file path=xl/sharedStrings.xml><?xml version="1.0" encoding="utf-8"?>
<sst xmlns="http://schemas.openxmlformats.org/spreadsheetml/2006/main" count="659" uniqueCount="228">
  <si>
    <t>ID Pedido</t>
  </si>
  <si>
    <t>Nome do Cliente</t>
  </si>
  <si>
    <t>Região</t>
  </si>
  <si>
    <t>Representante</t>
  </si>
  <si>
    <t>Data do Pedido</t>
  </si>
  <si>
    <t>Receita (R$)</t>
  </si>
  <si>
    <t>Produto</t>
  </si>
  <si>
    <t>Status</t>
  </si>
  <si>
    <t>Observações</t>
  </si>
  <si>
    <t>Alertas</t>
  </si>
  <si>
    <t>João Silva</t>
  </si>
  <si>
    <t>Sudeste</t>
  </si>
  <si>
    <t>Sara Jorge</t>
  </si>
  <si>
    <t>Licença de Software</t>
  </si>
  <si>
    <t>Fechado Ganho</t>
  </si>
  <si>
    <t>Maria Souza</t>
  </si>
  <si>
    <t>Consultoria</t>
  </si>
  <si>
    <t>Pedro Oliveira</t>
  </si>
  <si>
    <t>Sul</t>
  </si>
  <si>
    <t>Bruno Carvalho</t>
  </si>
  <si>
    <t>Hardware</t>
  </si>
  <si>
    <t>cliente recorrente</t>
  </si>
  <si>
    <t>Emília Dias</t>
  </si>
  <si>
    <t>Centro-Oeste</t>
  </si>
  <si>
    <t>Tomás Bastos</t>
  </si>
  <si>
    <t>Fechado Perdido</t>
  </si>
  <si>
    <t>Possível duplicado: pedidos 1004, 1017</t>
  </si>
  <si>
    <t>Carlos Ribeiro</t>
  </si>
  <si>
    <t>Possível duplicado: pedidos 1006, 1029; Região inferida pelo representante</t>
  </si>
  <si>
    <t>Linda Nunes</t>
  </si>
  <si>
    <t>Possível duplicado: pedidos 1007, 1025 (status divergentes: Fechado Ganho x Fechado Perdido)</t>
  </si>
  <si>
    <t>Jaime Torres</t>
  </si>
  <si>
    <t>Nordeste</t>
  </si>
  <si>
    <t>Raquel Verde</t>
  </si>
  <si>
    <t>Pacote Empresarial</t>
  </si>
  <si>
    <t>Possível duplicado: pedidos 1008, 1014</t>
  </si>
  <si>
    <t>Priscila Pinto</t>
  </si>
  <si>
    <t>Receita ausente</t>
  </si>
  <si>
    <t>Kevin Barros</t>
  </si>
  <si>
    <t>Norte</t>
  </si>
  <si>
    <t>Susana Hall</t>
  </si>
  <si>
    <t>Dérico Mendes</t>
  </si>
  <si>
    <t>Tânia Braga</t>
  </si>
  <si>
    <t>Nina Prado</t>
  </si>
  <si>
    <t>Gabriel Stein</t>
  </si>
  <si>
    <t>Região inferida pelo representante</t>
  </si>
  <si>
    <t>Raquel Quintana</t>
  </si>
  <si>
    <t>Tomé Neves</t>
  </si>
  <si>
    <t>Patrícia Leme</t>
  </si>
  <si>
    <t>Vítor Reis</t>
  </si>
  <si>
    <t>Carina Valente</t>
  </si>
  <si>
    <t>Breno Tavares</t>
  </si>
  <si>
    <t>Samanta Coelho</t>
  </si>
  <si>
    <t>Daniel Parente</t>
  </si>
  <si>
    <t>Representante inferido pela região</t>
  </si>
  <si>
    <t>Mônica Belo</t>
  </si>
  <si>
    <t>Possível duplicado: pedidos 1006, 1029</t>
  </si>
  <si>
    <t>Fábio Duarte</t>
  </si>
  <si>
    <t>Resumo da Planilha de Vendas Tratada</t>
  </si>
  <si>
    <t>Total de pedidos</t>
  </si>
  <si>
    <t>Receita total (todos os status)</t>
  </si>
  <si>
    <t>Receita Fechado Ganho</t>
  </si>
  <si>
    <t>Pedidos Fechado Ganho</t>
  </si>
  <si>
    <t>Pedidos Fechado Perdido</t>
  </si>
  <si>
    <t>Taxa de conversão</t>
  </si>
  <si>
    <t>Ticket médio (ganhos com receita)</t>
  </si>
  <si>
    <t>Pedidos sem receita</t>
  </si>
  <si>
    <t>Pedidos com alerta</t>
  </si>
  <si>
    <t>Receita Ganha</t>
  </si>
  <si>
    <t>Pedidos</t>
  </si>
  <si>
    <t>Total</t>
  </si>
  <si>
    <t>Obs.: possíveis duplicados foram mantidos e estão sinalizados; confirme-os na aba Pendências antes de usar os totais.</t>
  </si>
  <si>
    <t>Coluna</t>
  </si>
  <si>
    <t>Valor Original</t>
  </si>
  <si>
    <t>Valor Corrigido</t>
  </si>
  <si>
    <t>Regra Aplicada</t>
  </si>
  <si>
    <t>Categoria</t>
  </si>
  <si>
    <t>Receita</t>
  </si>
  <si>
    <t>R$ 4320.00</t>
  </si>
  <si>
    <t>4320.0</t>
  </si>
  <si>
    <t>Texto convertido em número</t>
  </si>
  <si>
    <t>Receita como texto</t>
  </si>
  <si>
    <t>2024-01-22</t>
  </si>
  <si>
    <t>22/01/2024</t>
  </si>
  <si>
    <t>Data convertida para DD/MM/AAAA</t>
  </si>
  <si>
    <t>Data em formato não padrão</t>
  </si>
  <si>
    <t>maria souza</t>
  </si>
  <si>
    <t>Capitalização padronizada</t>
  </si>
  <si>
    <t>Capitalização fora do padrão</t>
  </si>
  <si>
    <t>R$ 1150.00</t>
  </si>
  <si>
    <t>1150.0</t>
  </si>
  <si>
    <t>sudeste</t>
  </si>
  <si>
    <t>Grafia padronizada para lista oficial</t>
  </si>
  <si>
    <t>Região fora do padrão</t>
  </si>
  <si>
    <t>sara jorge</t>
  </si>
  <si>
    <t>fechado ganho</t>
  </si>
  <si>
    <t>5 jan. 2024</t>
  </si>
  <si>
    <t>05/01/2024</t>
  </si>
  <si>
    <t>PEDRO OLIVEIRA</t>
  </si>
  <si>
    <t>R$ 8900.00</t>
  </si>
  <si>
    <t>8900.0</t>
  </si>
  <si>
    <t>SUL</t>
  </si>
  <si>
    <t>BRUNO CARVALHO</t>
  </si>
  <si>
    <t>R$ 2200.00</t>
  </si>
  <si>
    <t>2200.0</t>
  </si>
  <si>
    <t>(linha inteira)</t>
  </si>
  <si>
    <t>registro</t>
  </si>
  <si>
    <t>REMOVIDO</t>
  </si>
  <si>
    <t>Duplicado exato do pedido 1001</t>
  </si>
  <si>
    <t>Duplicado exato</t>
  </si>
  <si>
    <t>duplicado</t>
  </si>
  <si>
    <t>(vazio)</t>
  </si>
  <si>
    <t>Marcação de qualidade removida (tratada em Alertas/Log)</t>
  </si>
  <si>
    <t>Marcador de erro em Observações</t>
  </si>
  <si>
    <t>R$ 3750.00</t>
  </si>
  <si>
    <t>3750.0</t>
  </si>
  <si>
    <t>Inferida: Tomás Bastos atua apenas em Centro-Oeste</t>
  </si>
  <si>
    <t>Campo vazio preenchido</t>
  </si>
  <si>
    <t>2024-02-20</t>
  </si>
  <si>
    <t>20/02/2024</t>
  </si>
  <si>
    <t>linda nunes</t>
  </si>
  <si>
    <t>R$ 990.00</t>
  </si>
  <si>
    <t>990.0</t>
  </si>
  <si>
    <t>Status recuperado da coluna Observações</t>
  </si>
  <si>
    <t>Status na coluna errada</t>
  </si>
  <si>
    <t>3 março 2024</t>
  </si>
  <si>
    <t>03/03/2024</t>
  </si>
  <si>
    <t>JAIME TORRES</t>
  </si>
  <si>
    <t>R$ 12400.00</t>
  </si>
  <si>
    <t>12400.0</t>
  </si>
  <si>
    <t>RAQUEL VERDE</t>
  </si>
  <si>
    <t>receita ausente</t>
  </si>
  <si>
    <t>2024-03-15</t>
  </si>
  <si>
    <t>15/03/2024</t>
  </si>
  <si>
    <t>kevin barros</t>
  </si>
  <si>
    <t>R$ 2100.00</t>
  </si>
  <si>
    <t>2100.0</t>
  </si>
  <si>
    <t>R$ 5600.00</t>
  </si>
  <si>
    <t>5600.0</t>
  </si>
  <si>
    <t>1 abr. 2024</t>
  </si>
  <si>
    <t>01/04/2024</t>
  </si>
  <si>
    <t>DÉRICO MENDES</t>
  </si>
  <si>
    <t>R$ 3300.00</t>
  </si>
  <si>
    <t>3300.0</t>
  </si>
  <si>
    <t>NORDESTE</t>
  </si>
  <si>
    <t>R$ 1800.00</t>
  </si>
  <si>
    <t>1800.0</t>
  </si>
  <si>
    <t>2024-04-12</t>
  </si>
  <si>
    <t>12/04/2024</t>
  </si>
  <si>
    <t>jaime torres</t>
  </si>
  <si>
    <t>possível duplicado</t>
  </si>
  <si>
    <t>R$ 7250.00</t>
  </si>
  <si>
    <t>7250.0</t>
  </si>
  <si>
    <t>R$ 4100.00</t>
  </si>
  <si>
    <t>4100.0</t>
  </si>
  <si>
    <t>Inferida: Bruno Carvalho atua apenas em Sul</t>
  </si>
  <si>
    <t>2 maio 2024</t>
  </si>
  <si>
    <t>02/05/2024</t>
  </si>
  <si>
    <t>EMÍLIA DIAS</t>
  </si>
  <si>
    <t>TOMÁS BASTOS</t>
  </si>
  <si>
    <t>R$ 9800.00</t>
  </si>
  <si>
    <t>9800.0</t>
  </si>
  <si>
    <t>2024-05-17</t>
  </si>
  <si>
    <t>17/05/2024</t>
  </si>
  <si>
    <t>tomé neves</t>
  </si>
  <si>
    <t>R$ 660.00</t>
  </si>
  <si>
    <t>660.0</t>
  </si>
  <si>
    <t>sul</t>
  </si>
  <si>
    <t>bruno carvalho</t>
  </si>
  <si>
    <t>closed won</t>
  </si>
  <si>
    <t>Traduzido para português</t>
  </si>
  <si>
    <t>Status em outro idioma</t>
  </si>
  <si>
    <t>R$ 3400.00</t>
  </si>
  <si>
    <t>3400.0</t>
  </si>
  <si>
    <t>10 jun. 2024</t>
  </si>
  <si>
    <t>10/06/2024</t>
  </si>
  <si>
    <t>CARINA VALENTE</t>
  </si>
  <si>
    <t>R$ 5100.00</t>
  </si>
  <si>
    <t>5100.0</t>
  </si>
  <si>
    <t>NORTE</t>
  </si>
  <si>
    <t>SARA JORGE</t>
  </si>
  <si>
    <t>R$ 2900.00</t>
  </si>
  <si>
    <t>2900.0</t>
  </si>
  <si>
    <t>2024-06-25</t>
  </si>
  <si>
    <t>25/06/2024</t>
  </si>
  <si>
    <t>R$ 8700.00</t>
  </si>
  <si>
    <t>8700.0</t>
  </si>
  <si>
    <t>4 jul. 2024</t>
  </si>
  <si>
    <t>04/07/2024</t>
  </si>
  <si>
    <t>PRISCILA PINTO</t>
  </si>
  <si>
    <t>R$ 3200.00</t>
  </si>
  <si>
    <t>3200.0</t>
  </si>
  <si>
    <t>sem representante</t>
  </si>
  <si>
    <t>R$ 1450.00</t>
  </si>
  <si>
    <t>1450.0</t>
  </si>
  <si>
    <t>Inferido: único representante da região Norte</t>
  </si>
  <si>
    <t>R$ 6600.00</t>
  </si>
  <si>
    <t>6600.0</t>
  </si>
  <si>
    <t>2024-07-26</t>
  </si>
  <si>
    <t>26/07/2024</t>
  </si>
  <si>
    <t>carlos ribeiro</t>
  </si>
  <si>
    <t>Centro-oeste</t>
  </si>
  <si>
    <t>2 ago. 2024</t>
  </si>
  <si>
    <t>02/08/2024</t>
  </si>
  <si>
    <t>FÁBIO DUARTE</t>
  </si>
  <si>
    <t>R$ 4800.00</t>
  </si>
  <si>
    <t>4800.0</t>
  </si>
  <si>
    <t>ID(s) Pedido</t>
  </si>
  <si>
    <t>Tipo</t>
  </si>
  <si>
    <t>Descrição</t>
  </si>
  <si>
    <t>Ação Sugerida</t>
  </si>
  <si>
    <t>Resolvido? (S/N)</t>
  </si>
  <si>
    <t>1004, 1017</t>
  </si>
  <si>
    <t>Possível duplicado</t>
  </si>
  <si>
    <t>Emília Dias / Licença de Software / R$ 2.200,00 em datas diferentes</t>
  </si>
  <si>
    <t>Confirmar com o comercial se é recompra ou lançamento repetido</t>
  </si>
  <si>
    <t>1006, 1029</t>
  </si>
  <si>
    <t>Carlos Ribeiro / Consultoria / R$ 3.750,00 em datas diferentes</t>
  </si>
  <si>
    <t>1007, 1025</t>
  </si>
  <si>
    <t>Linda Nunes / Hardware / R$ 990,00 em datas diferentes (status divergentes: Fechado Ganho x Fechado Perdido)</t>
  </si>
  <si>
    <t>1008, 1014</t>
  </si>
  <si>
    <t>Jaime Torres / Pacote Empresarial / R$ 12.400,00 em datas diferentes</t>
  </si>
  <si>
    <t>1009</t>
  </si>
  <si>
    <t>Pedido 'Fechado Ganho' sem valor (Priscila Pinto)</t>
  </si>
  <si>
    <t>Buscar valor no contrato/nota fiscal</t>
  </si>
  <si>
    <t>1021</t>
  </si>
  <si>
    <t>Pedido 'Fechado Ganho' sem valor (Vítor Reis)</t>
  </si>
  <si>
    <t>Preencha a coluna amarela após validar cada item com a área comercial.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</si>
</sst>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R$&quot;\ #,##0.00;\-&quot;R$&quot;\ #,##0.00;&quot;-&quot;"/>
    <numFmt numFmtId="166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4"/>
      <name val="Arial"/>
    </font>
    <font>
      <b/>
      <sz val="11"/>
      <name val="Arial"/>
    </font>
    <font>
      <i/>
      <sz val="11"/>
      <color rgb="FF7F7F7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  <xf numFmtId="14" fontId="2" fillId="0" borderId="1" xfId="0" applyNumberFormat="1" applyFont="1" applyBorder="1"/>
    <xf numFmtId="165" fontId="2" fillId="0" borderId="1" xfId="0" applyNumberFormat="1" applyFont="1" applyBorder="1"/>
    <xf numFmtId="0" fontId="2" fillId="3" borderId="1" xfId="0" applyFont="1" applyFill="1" applyBorder="1"/>
    <xf numFmtId="14" fontId="2" fillId="3" borderId="1" xfId="0" applyNumberFormat="1" applyFont="1" applyFill="1" applyBorder="1"/>
    <xf numFmtId="165" fontId="2" fillId="3" borderId="1" xfId="0" applyNumberFormat="1" applyFont="1" applyFill="1" applyBorder="1"/>
    <xf numFmtId="0" fontId="3" fillId="0" borderId="0" xfId="0" applyFont="1"/>
    <xf numFmtId="0" fontId="2" fillId="0" borderId="0" xfId="0" applyFont="1"/>
    <xf numFmtId="1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0" fontId="1" fillId="2" borderId="0" xfId="0" applyFont="1" applyFill="1"/>
    <xf numFmtId="165" fontId="2" fillId="0" borderId="0" xfId="0" applyNumberFormat="1" applyFont="1"/>
    <xf numFmtId="0" fontId="4" fillId="0" borderId="0" xfId="0" applyFont="1"/>
    <xf numFmtId="0" fontId="5" fillId="0" borderId="0" xfId="0" applyFont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22" customWidth="1"/>
    <col min="3" max="3" width="14" customWidth="1"/>
    <col min="4" max="4" width="18" customWidth="1"/>
    <col min="5" max="5" width="14" customWidth="1"/>
    <col min="6" max="6" width="15" customWidth="1"/>
    <col min="7" max="7" width="22" customWidth="1"/>
    <col min="8" max="8" width="17" customWidth="1"/>
    <col min="9" max="9" width="20" customWidth="1"/>
    <col min="10" max="10" width="55" customWidth="1"/>
  </cols>
  <sheetData>
    <row r="1" spans="1:10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1001</v>
      </c>
      <c r="B2" s="2" t="s">
        <v>10</v>
      </c>
      <c r="C2" s="2" t="s">
        <v>11</v>
      </c>
      <c r="D2" s="2" t="s">
        <v>12</v>
      </c>
      <c r="E2" s="3">
        <v>45306</v>
      </c>
      <c r="F2" s="4">
        <v>4320</v>
      </c>
      <c r="G2" s="2" t="s">
        <v>13</v>
      </c>
      <c r="H2" s="2" t="s">
        <v>14</v>
      </c>
      <c r="I2" s="2"/>
      <c r="J2" s="2"/>
    </row>
    <row r="3" spans="1:10" x14ac:dyDescent="0.3">
      <c r="A3" s="2">
        <v>1002</v>
      </c>
      <c r="B3" s="2" t="s">
        <v>15</v>
      </c>
      <c r="C3" s="2" t="s">
        <v>11</v>
      </c>
      <c r="D3" s="2" t="s">
        <v>12</v>
      </c>
      <c r="E3" s="3">
        <v>45313</v>
      </c>
      <c r="F3" s="4">
        <v>1150</v>
      </c>
      <c r="G3" s="2" t="s">
        <v>16</v>
      </c>
      <c r="H3" s="2" t="s">
        <v>14</v>
      </c>
      <c r="I3" s="2"/>
      <c r="J3" s="2"/>
    </row>
    <row r="4" spans="1:10" x14ac:dyDescent="0.3">
      <c r="A4" s="2">
        <v>1003</v>
      </c>
      <c r="B4" s="2" t="s">
        <v>17</v>
      </c>
      <c r="C4" s="2" t="s">
        <v>18</v>
      </c>
      <c r="D4" s="2" t="s">
        <v>19</v>
      </c>
      <c r="E4" s="3">
        <v>45296</v>
      </c>
      <c r="F4" s="4">
        <v>8900</v>
      </c>
      <c r="G4" s="2" t="s">
        <v>20</v>
      </c>
      <c r="H4" s="2" t="s">
        <v>14</v>
      </c>
      <c r="I4" s="2" t="s">
        <v>21</v>
      </c>
      <c r="J4" s="2"/>
    </row>
    <row r="5" spans="1:10" x14ac:dyDescent="0.3">
      <c r="A5" s="5">
        <v>1004</v>
      </c>
      <c r="B5" s="5" t="s">
        <v>22</v>
      </c>
      <c r="C5" s="5" t="s">
        <v>23</v>
      </c>
      <c r="D5" s="5" t="s">
        <v>24</v>
      </c>
      <c r="E5" s="6">
        <v>45325</v>
      </c>
      <c r="F5" s="7">
        <v>2200</v>
      </c>
      <c r="G5" s="5" t="s">
        <v>13</v>
      </c>
      <c r="H5" s="5" t="s">
        <v>25</v>
      </c>
      <c r="I5" s="5"/>
      <c r="J5" s="5" t="s">
        <v>26</v>
      </c>
    </row>
    <row r="6" spans="1:10" x14ac:dyDescent="0.3">
      <c r="A6" s="5">
        <v>1006</v>
      </c>
      <c r="B6" s="5" t="s">
        <v>27</v>
      </c>
      <c r="C6" s="5" t="s">
        <v>23</v>
      </c>
      <c r="D6" s="5" t="s">
        <v>24</v>
      </c>
      <c r="E6" s="6">
        <v>45336</v>
      </c>
      <c r="F6" s="7">
        <v>3750</v>
      </c>
      <c r="G6" s="5" t="s">
        <v>16</v>
      </c>
      <c r="H6" s="5" t="s">
        <v>14</v>
      </c>
      <c r="I6" s="5"/>
      <c r="J6" s="5" t="s">
        <v>28</v>
      </c>
    </row>
    <row r="7" spans="1:10" x14ac:dyDescent="0.3">
      <c r="A7" s="5">
        <v>1007</v>
      </c>
      <c r="B7" s="5" t="s">
        <v>29</v>
      </c>
      <c r="C7" s="5" t="s">
        <v>23</v>
      </c>
      <c r="D7" s="5" t="s">
        <v>24</v>
      </c>
      <c r="E7" s="6">
        <v>45342</v>
      </c>
      <c r="F7" s="7">
        <v>990</v>
      </c>
      <c r="G7" s="5" t="s">
        <v>20</v>
      </c>
      <c r="H7" s="5" t="s">
        <v>25</v>
      </c>
      <c r="I7" s="5"/>
      <c r="J7" s="5" t="s">
        <v>30</v>
      </c>
    </row>
    <row r="8" spans="1:10" x14ac:dyDescent="0.3">
      <c r="A8" s="5">
        <v>1008</v>
      </c>
      <c r="B8" s="5" t="s">
        <v>31</v>
      </c>
      <c r="C8" s="5" t="s">
        <v>32</v>
      </c>
      <c r="D8" s="5" t="s">
        <v>33</v>
      </c>
      <c r="E8" s="6">
        <v>45354</v>
      </c>
      <c r="F8" s="7">
        <v>12400</v>
      </c>
      <c r="G8" s="5" t="s">
        <v>34</v>
      </c>
      <c r="H8" s="5" t="s">
        <v>14</v>
      </c>
      <c r="I8" s="5"/>
      <c r="J8" s="5" t="s">
        <v>35</v>
      </c>
    </row>
    <row r="9" spans="1:10" x14ac:dyDescent="0.3">
      <c r="A9" s="5">
        <v>1009</v>
      </c>
      <c r="B9" s="5" t="s">
        <v>36</v>
      </c>
      <c r="C9" s="5" t="s">
        <v>18</v>
      </c>
      <c r="D9" s="5" t="s">
        <v>19</v>
      </c>
      <c r="E9" s="6">
        <v>45361</v>
      </c>
      <c r="F9" s="7"/>
      <c r="G9" s="5" t="s">
        <v>13</v>
      </c>
      <c r="H9" s="5" t="s">
        <v>14</v>
      </c>
      <c r="I9" s="5"/>
      <c r="J9" s="5" t="s">
        <v>37</v>
      </c>
    </row>
    <row r="10" spans="1:10" x14ac:dyDescent="0.3">
      <c r="A10" s="2">
        <v>1010</v>
      </c>
      <c r="B10" s="2" t="s">
        <v>38</v>
      </c>
      <c r="C10" s="2" t="s">
        <v>39</v>
      </c>
      <c r="D10" s="2" t="s">
        <v>12</v>
      </c>
      <c r="E10" s="3">
        <v>45366</v>
      </c>
      <c r="F10" s="4">
        <v>2100</v>
      </c>
      <c r="G10" s="2" t="s">
        <v>16</v>
      </c>
      <c r="H10" s="2" t="s">
        <v>14</v>
      </c>
      <c r="I10" s="2"/>
      <c r="J10" s="2"/>
    </row>
    <row r="11" spans="1:10" x14ac:dyDescent="0.3">
      <c r="A11" s="2">
        <v>1011</v>
      </c>
      <c r="B11" s="2" t="s">
        <v>40</v>
      </c>
      <c r="C11" s="2" t="s">
        <v>23</v>
      </c>
      <c r="D11" s="2" t="s">
        <v>24</v>
      </c>
      <c r="E11" s="3">
        <v>45373</v>
      </c>
      <c r="F11" s="4">
        <v>5600</v>
      </c>
      <c r="G11" s="2" t="s">
        <v>13</v>
      </c>
      <c r="H11" s="2" t="s">
        <v>14</v>
      </c>
      <c r="I11" s="2"/>
      <c r="J11" s="2"/>
    </row>
    <row r="12" spans="1:10" x14ac:dyDescent="0.3">
      <c r="A12" s="2">
        <v>1012</v>
      </c>
      <c r="B12" s="2" t="s">
        <v>41</v>
      </c>
      <c r="C12" s="2" t="s">
        <v>32</v>
      </c>
      <c r="D12" s="2" t="s">
        <v>33</v>
      </c>
      <c r="E12" s="3">
        <v>45383</v>
      </c>
      <c r="F12" s="4">
        <v>3300</v>
      </c>
      <c r="G12" s="2" t="s">
        <v>20</v>
      </c>
      <c r="H12" s="2" t="s">
        <v>14</v>
      </c>
      <c r="I12" s="2"/>
      <c r="J12" s="2"/>
    </row>
    <row r="13" spans="1:10" x14ac:dyDescent="0.3">
      <c r="A13" s="2">
        <v>1013</v>
      </c>
      <c r="B13" s="2" t="s">
        <v>42</v>
      </c>
      <c r="C13" s="2" t="s">
        <v>18</v>
      </c>
      <c r="D13" s="2" t="s">
        <v>19</v>
      </c>
      <c r="E13" s="3">
        <v>45390</v>
      </c>
      <c r="F13" s="4">
        <v>1800</v>
      </c>
      <c r="G13" s="2" t="s">
        <v>16</v>
      </c>
      <c r="H13" s="2" t="s">
        <v>25</v>
      </c>
      <c r="I13" s="2"/>
      <c r="J13" s="2"/>
    </row>
    <row r="14" spans="1:10" x14ac:dyDescent="0.3">
      <c r="A14" s="5">
        <v>1014</v>
      </c>
      <c r="B14" s="5" t="s">
        <v>31</v>
      </c>
      <c r="C14" s="5" t="s">
        <v>32</v>
      </c>
      <c r="D14" s="5" t="s">
        <v>33</v>
      </c>
      <c r="E14" s="6">
        <v>45394</v>
      </c>
      <c r="F14" s="7">
        <v>12400</v>
      </c>
      <c r="G14" s="5" t="s">
        <v>34</v>
      </c>
      <c r="H14" s="5" t="s">
        <v>14</v>
      </c>
      <c r="I14" s="5"/>
      <c r="J14" s="5" t="s">
        <v>35</v>
      </c>
    </row>
    <row r="15" spans="1:10" x14ac:dyDescent="0.3">
      <c r="A15" s="2">
        <v>1015</v>
      </c>
      <c r="B15" s="2" t="s">
        <v>43</v>
      </c>
      <c r="C15" s="2" t="s">
        <v>39</v>
      </c>
      <c r="D15" s="2" t="s">
        <v>12</v>
      </c>
      <c r="E15" s="3">
        <v>45401</v>
      </c>
      <c r="F15" s="4">
        <v>7250</v>
      </c>
      <c r="G15" s="2" t="s">
        <v>13</v>
      </c>
      <c r="H15" s="2" t="s">
        <v>14</v>
      </c>
      <c r="I15" s="2"/>
      <c r="J15" s="2"/>
    </row>
    <row r="16" spans="1:10" x14ac:dyDescent="0.3">
      <c r="A16" s="5">
        <v>1016</v>
      </c>
      <c r="B16" s="5" t="s">
        <v>44</v>
      </c>
      <c r="C16" s="5" t="s">
        <v>18</v>
      </c>
      <c r="D16" s="5" t="s">
        <v>19</v>
      </c>
      <c r="E16" s="6">
        <v>45407</v>
      </c>
      <c r="F16" s="7">
        <v>4100</v>
      </c>
      <c r="G16" s="5" t="s">
        <v>20</v>
      </c>
      <c r="H16" s="5" t="s">
        <v>14</v>
      </c>
      <c r="I16" s="5"/>
      <c r="J16" s="5" t="s">
        <v>45</v>
      </c>
    </row>
    <row r="17" spans="1:10" x14ac:dyDescent="0.3">
      <c r="A17" s="5">
        <v>1017</v>
      </c>
      <c r="B17" s="5" t="s">
        <v>22</v>
      </c>
      <c r="C17" s="5" t="s">
        <v>23</v>
      </c>
      <c r="D17" s="5" t="s">
        <v>24</v>
      </c>
      <c r="E17" s="6">
        <v>45414</v>
      </c>
      <c r="F17" s="7">
        <v>2200</v>
      </c>
      <c r="G17" s="5" t="s">
        <v>13</v>
      </c>
      <c r="H17" s="5" t="s">
        <v>25</v>
      </c>
      <c r="I17" s="5"/>
      <c r="J17" s="5" t="s">
        <v>26</v>
      </c>
    </row>
    <row r="18" spans="1:10" x14ac:dyDescent="0.3">
      <c r="A18" s="2">
        <v>1018</v>
      </c>
      <c r="B18" s="2" t="s">
        <v>46</v>
      </c>
      <c r="C18" s="2" t="s">
        <v>32</v>
      </c>
      <c r="D18" s="2" t="s">
        <v>33</v>
      </c>
      <c r="E18" s="3">
        <v>45421</v>
      </c>
      <c r="F18" s="4">
        <v>9800</v>
      </c>
      <c r="G18" s="2" t="s">
        <v>34</v>
      </c>
      <c r="H18" s="2" t="s">
        <v>14</v>
      </c>
      <c r="I18" s="2"/>
      <c r="J18" s="2"/>
    </row>
    <row r="19" spans="1:10" x14ac:dyDescent="0.3">
      <c r="A19" s="2">
        <v>1019</v>
      </c>
      <c r="B19" s="2" t="s">
        <v>47</v>
      </c>
      <c r="C19" s="2" t="s">
        <v>18</v>
      </c>
      <c r="D19" s="2" t="s">
        <v>19</v>
      </c>
      <c r="E19" s="3">
        <v>45429</v>
      </c>
      <c r="F19" s="4">
        <v>660</v>
      </c>
      <c r="G19" s="2" t="s">
        <v>16</v>
      </c>
      <c r="H19" s="2" t="s">
        <v>14</v>
      </c>
      <c r="I19" s="2"/>
      <c r="J19" s="2"/>
    </row>
    <row r="20" spans="1:10" x14ac:dyDescent="0.3">
      <c r="A20" s="2">
        <v>1020</v>
      </c>
      <c r="B20" s="2" t="s">
        <v>48</v>
      </c>
      <c r="C20" s="2" t="s">
        <v>39</v>
      </c>
      <c r="D20" s="2" t="s">
        <v>12</v>
      </c>
      <c r="E20" s="3">
        <v>45435</v>
      </c>
      <c r="F20" s="4">
        <v>3400</v>
      </c>
      <c r="G20" s="2" t="s">
        <v>13</v>
      </c>
      <c r="H20" s="2" t="s">
        <v>14</v>
      </c>
      <c r="I20" s="2"/>
      <c r="J20" s="2"/>
    </row>
    <row r="21" spans="1:10" x14ac:dyDescent="0.3">
      <c r="A21" s="5">
        <v>1021</v>
      </c>
      <c r="B21" s="5" t="s">
        <v>49</v>
      </c>
      <c r="C21" s="5" t="s">
        <v>23</v>
      </c>
      <c r="D21" s="5" t="s">
        <v>24</v>
      </c>
      <c r="E21" s="6">
        <v>45445</v>
      </c>
      <c r="F21" s="7"/>
      <c r="G21" s="5" t="s">
        <v>16</v>
      </c>
      <c r="H21" s="5" t="s">
        <v>14</v>
      </c>
      <c r="I21" s="5"/>
      <c r="J21" s="5" t="s">
        <v>37</v>
      </c>
    </row>
    <row r="22" spans="1:10" x14ac:dyDescent="0.3">
      <c r="A22" s="2">
        <v>1022</v>
      </c>
      <c r="B22" s="2" t="s">
        <v>50</v>
      </c>
      <c r="C22" s="2" t="s">
        <v>39</v>
      </c>
      <c r="D22" s="2" t="s">
        <v>12</v>
      </c>
      <c r="E22" s="3">
        <v>45453</v>
      </c>
      <c r="F22" s="4">
        <v>5100</v>
      </c>
      <c r="G22" s="2" t="s">
        <v>13</v>
      </c>
      <c r="H22" s="2" t="s">
        <v>14</v>
      </c>
      <c r="I22" s="2"/>
      <c r="J22" s="2"/>
    </row>
    <row r="23" spans="1:10" x14ac:dyDescent="0.3">
      <c r="A23" s="2">
        <v>1023</v>
      </c>
      <c r="B23" s="2" t="s">
        <v>51</v>
      </c>
      <c r="C23" s="2" t="s">
        <v>18</v>
      </c>
      <c r="D23" s="2" t="s">
        <v>19</v>
      </c>
      <c r="E23" s="3">
        <v>45461</v>
      </c>
      <c r="F23" s="4">
        <v>2900</v>
      </c>
      <c r="G23" s="2" t="s">
        <v>20</v>
      </c>
      <c r="H23" s="2" t="s">
        <v>25</v>
      </c>
      <c r="I23" s="2"/>
      <c r="J23" s="2"/>
    </row>
    <row r="24" spans="1:10" x14ac:dyDescent="0.3">
      <c r="A24" s="2">
        <v>1024</v>
      </c>
      <c r="B24" s="2" t="s">
        <v>52</v>
      </c>
      <c r="C24" s="2" t="s">
        <v>32</v>
      </c>
      <c r="D24" s="2" t="s">
        <v>33</v>
      </c>
      <c r="E24" s="3">
        <v>45468</v>
      </c>
      <c r="F24" s="4">
        <v>8700</v>
      </c>
      <c r="G24" s="2" t="s">
        <v>34</v>
      </c>
      <c r="H24" s="2" t="s">
        <v>14</v>
      </c>
      <c r="I24" s="2"/>
      <c r="J24" s="2"/>
    </row>
    <row r="25" spans="1:10" x14ac:dyDescent="0.3">
      <c r="A25" s="5">
        <v>1025</v>
      </c>
      <c r="B25" s="5" t="s">
        <v>29</v>
      </c>
      <c r="C25" s="5" t="s">
        <v>23</v>
      </c>
      <c r="D25" s="5" t="s">
        <v>24</v>
      </c>
      <c r="E25" s="6">
        <v>45471</v>
      </c>
      <c r="F25" s="7">
        <v>990</v>
      </c>
      <c r="G25" s="5" t="s">
        <v>20</v>
      </c>
      <c r="H25" s="5" t="s">
        <v>14</v>
      </c>
      <c r="I25" s="5"/>
      <c r="J25" s="5" t="s">
        <v>30</v>
      </c>
    </row>
    <row r="26" spans="1:10" x14ac:dyDescent="0.3">
      <c r="A26" s="2">
        <v>1026</v>
      </c>
      <c r="B26" s="2" t="s">
        <v>36</v>
      </c>
      <c r="C26" s="2" t="s">
        <v>18</v>
      </c>
      <c r="D26" s="2" t="s">
        <v>19</v>
      </c>
      <c r="E26" s="3">
        <v>45477</v>
      </c>
      <c r="F26" s="4">
        <v>3200</v>
      </c>
      <c r="G26" s="2" t="s">
        <v>13</v>
      </c>
      <c r="H26" s="2" t="s">
        <v>14</v>
      </c>
      <c r="I26" s="2"/>
      <c r="J26" s="2"/>
    </row>
    <row r="27" spans="1:10" x14ac:dyDescent="0.3">
      <c r="A27" s="5">
        <v>1027</v>
      </c>
      <c r="B27" s="5" t="s">
        <v>53</v>
      </c>
      <c r="C27" s="5" t="s">
        <v>39</v>
      </c>
      <c r="D27" s="5" t="s">
        <v>12</v>
      </c>
      <c r="E27" s="6">
        <v>45484</v>
      </c>
      <c r="F27" s="7">
        <v>1450</v>
      </c>
      <c r="G27" s="5" t="s">
        <v>16</v>
      </c>
      <c r="H27" s="5" t="s">
        <v>14</v>
      </c>
      <c r="I27" s="5"/>
      <c r="J27" s="5" t="s">
        <v>54</v>
      </c>
    </row>
    <row r="28" spans="1:10" x14ac:dyDescent="0.3">
      <c r="A28" s="2">
        <v>1028</v>
      </c>
      <c r="B28" s="2" t="s">
        <v>55</v>
      </c>
      <c r="C28" s="2" t="s">
        <v>32</v>
      </c>
      <c r="D28" s="2" t="s">
        <v>33</v>
      </c>
      <c r="E28" s="3">
        <v>45492</v>
      </c>
      <c r="F28" s="4">
        <v>6600</v>
      </c>
      <c r="G28" s="2" t="s">
        <v>13</v>
      </c>
      <c r="H28" s="2" t="s">
        <v>14</v>
      </c>
      <c r="I28" s="2"/>
      <c r="J28" s="2"/>
    </row>
    <row r="29" spans="1:10" x14ac:dyDescent="0.3">
      <c r="A29" s="5">
        <v>1029</v>
      </c>
      <c r="B29" s="5" t="s">
        <v>27</v>
      </c>
      <c r="C29" s="5" t="s">
        <v>23</v>
      </c>
      <c r="D29" s="5" t="s">
        <v>24</v>
      </c>
      <c r="E29" s="6">
        <v>45499</v>
      </c>
      <c r="F29" s="7">
        <v>3750</v>
      </c>
      <c r="G29" s="5" t="s">
        <v>16</v>
      </c>
      <c r="H29" s="5" t="s">
        <v>14</v>
      </c>
      <c r="I29" s="5"/>
      <c r="J29" s="5" t="s">
        <v>56</v>
      </c>
    </row>
    <row r="30" spans="1:10" x14ac:dyDescent="0.3">
      <c r="A30" s="2">
        <v>1030</v>
      </c>
      <c r="B30" s="2" t="s">
        <v>57</v>
      </c>
      <c r="C30" s="2" t="s">
        <v>18</v>
      </c>
      <c r="D30" s="2" t="s">
        <v>19</v>
      </c>
      <c r="E30" s="3">
        <v>45506</v>
      </c>
      <c r="F30" s="4">
        <v>4800</v>
      </c>
      <c r="G30" s="2" t="s">
        <v>20</v>
      </c>
      <c r="H30" s="2" t="s">
        <v>14</v>
      </c>
      <c r="I30" s="2"/>
      <c r="J30" s="2"/>
    </row>
  </sheetData>
  <autoFilter ref="A1:J3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4.4" x14ac:dyDescent="0.3"/>
  <cols>
    <col min="1" max="1" width="34" customWidth="1"/>
    <col min="2" max="3" width="18" customWidth="1"/>
  </cols>
  <sheetData>
    <row r="1" spans="1:3" ht="17.399999999999999" x14ac:dyDescent="0.3">
      <c r="A1" s="8" t="s">
        <v>58</v>
      </c>
    </row>
    <row r="3" spans="1:3" x14ac:dyDescent="0.3">
      <c r="A3" s="9" t="s">
        <v>59</v>
      </c>
      <c r="B3" s="10">
        <f>COUNTA('Vendas Tratadas'!$A$2:$A$30)</f>
        <v>29</v>
      </c>
    </row>
    <row r="4" spans="1:3" x14ac:dyDescent="0.3">
      <c r="A4" s="9" t="s">
        <v>60</v>
      </c>
      <c r="B4" s="11">
        <f>SUM('Vendas Tratadas'!$F$2:$F$30)</f>
        <v>123810</v>
      </c>
    </row>
    <row r="5" spans="1:3" x14ac:dyDescent="0.3">
      <c r="A5" s="9" t="s">
        <v>61</v>
      </c>
      <c r="B5" s="11">
        <f>SUMIFS('Vendas Tratadas'!$F$2:$F$30,'Vendas Tratadas'!$H$2:$H$30,"Fechado Ganho")</f>
        <v>113720</v>
      </c>
    </row>
    <row r="6" spans="1:3" x14ac:dyDescent="0.3">
      <c r="A6" s="9" t="s">
        <v>62</v>
      </c>
      <c r="B6" s="10">
        <f>COUNTIFS('Vendas Tratadas'!$H$2:$H$30,"Fechado Ganho")</f>
        <v>24</v>
      </c>
    </row>
    <row r="7" spans="1:3" x14ac:dyDescent="0.3">
      <c r="A7" s="9" t="s">
        <v>63</v>
      </c>
      <c r="B7" s="10">
        <f>COUNTIFS('Vendas Tratadas'!$H$2:$H$30,"Fechado Perdido")</f>
        <v>5</v>
      </c>
    </row>
    <row r="8" spans="1:3" x14ac:dyDescent="0.3">
      <c r="A8" s="9" t="s">
        <v>64</v>
      </c>
      <c r="B8" s="12">
        <f>IFERROR(B6/(B6+B7),0)</f>
        <v>0.82758620689655171</v>
      </c>
    </row>
    <row r="9" spans="1:3" x14ac:dyDescent="0.3">
      <c r="A9" s="9" t="s">
        <v>65</v>
      </c>
      <c r="B9" s="11">
        <f>IFERROR(B5/COUNTIFS('Vendas Tratadas'!$H$2:$H$30,"Fechado Ganho",'Vendas Tratadas'!$F$2:$F$30,"&lt;&gt;"),0)</f>
        <v>5169.090909090909</v>
      </c>
    </row>
    <row r="10" spans="1:3" x14ac:dyDescent="0.3">
      <c r="A10" s="9" t="s">
        <v>66</v>
      </c>
      <c r="B10" s="10">
        <f>COUNTBLANK('Vendas Tratadas'!$F$2:$F$30)</f>
        <v>2</v>
      </c>
    </row>
    <row r="11" spans="1:3" x14ac:dyDescent="0.3">
      <c r="A11" s="9" t="s">
        <v>67</v>
      </c>
      <c r="B11" s="10">
        <f>COUNTA('Vendas Tratadas'!$J$2:$J$30)</f>
        <v>12</v>
      </c>
    </row>
    <row r="13" spans="1:3" x14ac:dyDescent="0.3">
      <c r="A13" s="13" t="s">
        <v>2</v>
      </c>
      <c r="B13" s="13" t="s">
        <v>68</v>
      </c>
      <c r="C13" s="13" t="s">
        <v>69</v>
      </c>
    </row>
    <row r="14" spans="1:3" x14ac:dyDescent="0.3">
      <c r="A14" s="9" t="s">
        <v>39</v>
      </c>
      <c r="B14" s="14">
        <f>SUMIFS('Vendas Tratadas'!$F$2:$F$30,'Vendas Tratadas'!$C$2:$C$30,A14,'Vendas Tratadas'!$H$2:$H$30,"Fechado Ganho")</f>
        <v>19300</v>
      </c>
      <c r="C14" s="9">
        <f>COUNTIFS('Vendas Tratadas'!$C$2:$C$30,A14)</f>
        <v>5</v>
      </c>
    </row>
    <row r="15" spans="1:3" x14ac:dyDescent="0.3">
      <c r="A15" s="9" t="s">
        <v>32</v>
      </c>
      <c r="B15" s="14">
        <f>SUMIFS('Vendas Tratadas'!$F$2:$F$30,'Vendas Tratadas'!$C$2:$C$30,A15,'Vendas Tratadas'!$H$2:$H$30,"Fechado Ganho")</f>
        <v>53200</v>
      </c>
      <c r="C15" s="9">
        <f>COUNTIFS('Vendas Tratadas'!$C$2:$C$30,A15)</f>
        <v>6</v>
      </c>
    </row>
    <row r="16" spans="1:3" x14ac:dyDescent="0.3">
      <c r="A16" s="9" t="s">
        <v>23</v>
      </c>
      <c r="B16" s="14">
        <f>SUMIFS('Vendas Tratadas'!$F$2:$F$30,'Vendas Tratadas'!$C$2:$C$30,A16,'Vendas Tratadas'!$H$2:$H$30,"Fechado Ganho")</f>
        <v>14090</v>
      </c>
      <c r="C16" s="9">
        <f>COUNTIFS('Vendas Tratadas'!$C$2:$C$30,A16)</f>
        <v>8</v>
      </c>
    </row>
    <row r="17" spans="1:3" x14ac:dyDescent="0.3">
      <c r="A17" s="9" t="s">
        <v>11</v>
      </c>
      <c r="B17" s="14">
        <f>SUMIFS('Vendas Tratadas'!$F$2:$F$30,'Vendas Tratadas'!$C$2:$C$30,A17,'Vendas Tratadas'!$H$2:$H$30,"Fechado Ganho")</f>
        <v>5470</v>
      </c>
      <c r="C17" s="9">
        <f>COUNTIFS('Vendas Tratadas'!$C$2:$C$30,A17)</f>
        <v>2</v>
      </c>
    </row>
    <row r="18" spans="1:3" x14ac:dyDescent="0.3">
      <c r="A18" s="9" t="s">
        <v>18</v>
      </c>
      <c r="B18" s="14">
        <f>SUMIFS('Vendas Tratadas'!$F$2:$F$30,'Vendas Tratadas'!$C$2:$C$30,A18,'Vendas Tratadas'!$H$2:$H$30,"Fechado Ganho")</f>
        <v>21660</v>
      </c>
      <c r="C18" s="9">
        <f>COUNTIFS('Vendas Tratadas'!$C$2:$C$30,A18)</f>
        <v>8</v>
      </c>
    </row>
    <row r="19" spans="1:3" x14ac:dyDescent="0.3">
      <c r="A19" s="15" t="s">
        <v>70</v>
      </c>
      <c r="B19" s="11">
        <f>SUM(B14:B18)</f>
        <v>113720</v>
      </c>
      <c r="C19" s="15">
        <f>SUM(C14:C18)</f>
        <v>29</v>
      </c>
    </row>
    <row r="21" spans="1:3" x14ac:dyDescent="0.3">
      <c r="A21" s="16" t="s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18" customWidth="1"/>
    <col min="3" max="4" width="24" customWidth="1"/>
    <col min="5" max="5" width="60" customWidth="1"/>
    <col min="6" max="6" width="30" customWidth="1"/>
  </cols>
  <sheetData>
    <row r="1" spans="1:6" x14ac:dyDescent="0.3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</row>
    <row r="2" spans="1:6" x14ac:dyDescent="0.3">
      <c r="A2" s="9">
        <v>1001</v>
      </c>
      <c r="B2" s="9" t="s">
        <v>77</v>
      </c>
      <c r="C2" s="9" t="s">
        <v>78</v>
      </c>
      <c r="D2" s="9" t="s">
        <v>79</v>
      </c>
      <c r="E2" s="9" t="s">
        <v>80</v>
      </c>
      <c r="F2" s="9" t="s">
        <v>81</v>
      </c>
    </row>
    <row r="3" spans="1:6" x14ac:dyDescent="0.3">
      <c r="A3" s="9">
        <v>1002</v>
      </c>
      <c r="B3" s="9" t="s">
        <v>4</v>
      </c>
      <c r="C3" s="9" t="s">
        <v>82</v>
      </c>
      <c r="D3" s="9" t="s">
        <v>83</v>
      </c>
      <c r="E3" s="9" t="s">
        <v>84</v>
      </c>
      <c r="F3" s="9" t="s">
        <v>85</v>
      </c>
    </row>
    <row r="4" spans="1:6" x14ac:dyDescent="0.3">
      <c r="A4" s="9">
        <v>1002</v>
      </c>
      <c r="B4" s="9" t="s">
        <v>1</v>
      </c>
      <c r="C4" s="9" t="s">
        <v>86</v>
      </c>
      <c r="D4" s="9" t="s">
        <v>15</v>
      </c>
      <c r="E4" s="9" t="s">
        <v>87</v>
      </c>
      <c r="F4" s="9" t="s">
        <v>88</v>
      </c>
    </row>
    <row r="5" spans="1:6" x14ac:dyDescent="0.3">
      <c r="A5" s="9">
        <v>1002</v>
      </c>
      <c r="B5" s="9" t="s">
        <v>77</v>
      </c>
      <c r="C5" s="9" t="s">
        <v>89</v>
      </c>
      <c r="D5" s="9" t="s">
        <v>90</v>
      </c>
      <c r="E5" s="9" t="s">
        <v>80</v>
      </c>
      <c r="F5" s="9" t="s">
        <v>81</v>
      </c>
    </row>
    <row r="6" spans="1:6" x14ac:dyDescent="0.3">
      <c r="A6" s="9">
        <v>1002</v>
      </c>
      <c r="B6" s="9" t="s">
        <v>2</v>
      </c>
      <c r="C6" s="9" t="s">
        <v>91</v>
      </c>
      <c r="D6" s="9" t="s">
        <v>11</v>
      </c>
      <c r="E6" s="9" t="s">
        <v>92</v>
      </c>
      <c r="F6" s="9" t="s">
        <v>93</v>
      </c>
    </row>
    <row r="7" spans="1:6" x14ac:dyDescent="0.3">
      <c r="A7" s="9">
        <v>1002</v>
      </c>
      <c r="B7" s="9" t="s">
        <v>3</v>
      </c>
      <c r="C7" s="9" t="s">
        <v>94</v>
      </c>
      <c r="D7" s="9" t="s">
        <v>12</v>
      </c>
      <c r="E7" s="9" t="s">
        <v>87</v>
      </c>
      <c r="F7" s="9" t="s">
        <v>88</v>
      </c>
    </row>
    <row r="8" spans="1:6" x14ac:dyDescent="0.3">
      <c r="A8" s="9">
        <v>1002</v>
      </c>
      <c r="B8" s="9" t="s">
        <v>7</v>
      </c>
      <c r="C8" s="9" t="s">
        <v>95</v>
      </c>
      <c r="D8" s="9" t="s">
        <v>14</v>
      </c>
      <c r="E8" s="9" t="s">
        <v>87</v>
      </c>
      <c r="F8" s="9" t="s">
        <v>88</v>
      </c>
    </row>
    <row r="9" spans="1:6" x14ac:dyDescent="0.3">
      <c r="A9" s="9">
        <v>1003</v>
      </c>
      <c r="B9" s="9" t="s">
        <v>4</v>
      </c>
      <c r="C9" s="9" t="s">
        <v>96</v>
      </c>
      <c r="D9" s="9" t="s">
        <v>97</v>
      </c>
      <c r="E9" s="9" t="s">
        <v>84</v>
      </c>
      <c r="F9" s="9" t="s">
        <v>85</v>
      </c>
    </row>
    <row r="10" spans="1:6" x14ac:dyDescent="0.3">
      <c r="A10" s="9">
        <v>1003</v>
      </c>
      <c r="B10" s="9" t="s">
        <v>1</v>
      </c>
      <c r="C10" s="9" t="s">
        <v>98</v>
      </c>
      <c r="D10" s="9" t="s">
        <v>17</v>
      </c>
      <c r="E10" s="9" t="s">
        <v>87</v>
      </c>
      <c r="F10" s="9" t="s">
        <v>88</v>
      </c>
    </row>
    <row r="11" spans="1:6" x14ac:dyDescent="0.3">
      <c r="A11" s="9">
        <v>1003</v>
      </c>
      <c r="B11" s="9" t="s">
        <v>77</v>
      </c>
      <c r="C11" s="9" t="s">
        <v>99</v>
      </c>
      <c r="D11" s="9" t="s">
        <v>100</v>
      </c>
      <c r="E11" s="9" t="s">
        <v>80</v>
      </c>
      <c r="F11" s="9" t="s">
        <v>81</v>
      </c>
    </row>
    <row r="12" spans="1:6" x14ac:dyDescent="0.3">
      <c r="A12" s="9">
        <v>1003</v>
      </c>
      <c r="B12" s="9" t="s">
        <v>2</v>
      </c>
      <c r="C12" s="9" t="s">
        <v>101</v>
      </c>
      <c r="D12" s="9" t="s">
        <v>18</v>
      </c>
      <c r="E12" s="9" t="s">
        <v>92</v>
      </c>
      <c r="F12" s="9" t="s">
        <v>93</v>
      </c>
    </row>
    <row r="13" spans="1:6" x14ac:dyDescent="0.3">
      <c r="A13" s="9">
        <v>1003</v>
      </c>
      <c r="B13" s="9" t="s">
        <v>3</v>
      </c>
      <c r="C13" s="9" t="s">
        <v>102</v>
      </c>
      <c r="D13" s="9" t="s">
        <v>19</v>
      </c>
      <c r="E13" s="9" t="s">
        <v>87</v>
      </c>
      <c r="F13" s="9" t="s">
        <v>88</v>
      </c>
    </row>
    <row r="14" spans="1:6" x14ac:dyDescent="0.3">
      <c r="A14" s="9">
        <v>1004</v>
      </c>
      <c r="B14" s="9" t="s">
        <v>77</v>
      </c>
      <c r="C14" s="9" t="s">
        <v>103</v>
      </c>
      <c r="D14" s="9" t="s">
        <v>104</v>
      </c>
      <c r="E14" s="9" t="s">
        <v>80</v>
      </c>
      <c r="F14" s="9" t="s">
        <v>81</v>
      </c>
    </row>
    <row r="15" spans="1:6" x14ac:dyDescent="0.3">
      <c r="A15" s="9">
        <v>1005</v>
      </c>
      <c r="B15" s="9" t="s">
        <v>105</v>
      </c>
      <c r="C15" s="9" t="s">
        <v>106</v>
      </c>
      <c r="D15" s="9" t="s">
        <v>107</v>
      </c>
      <c r="E15" s="9" t="s">
        <v>108</v>
      </c>
      <c r="F15" s="9" t="s">
        <v>109</v>
      </c>
    </row>
    <row r="16" spans="1:6" x14ac:dyDescent="0.3">
      <c r="A16" s="9">
        <v>1005</v>
      </c>
      <c r="B16" s="9" t="s">
        <v>8</v>
      </c>
      <c r="C16" s="9" t="s">
        <v>110</v>
      </c>
      <c r="D16" s="9" t="s">
        <v>111</v>
      </c>
      <c r="E16" s="9" t="s">
        <v>112</v>
      </c>
      <c r="F16" s="9" t="s">
        <v>113</v>
      </c>
    </row>
    <row r="17" spans="1:6" x14ac:dyDescent="0.3">
      <c r="A17" s="9">
        <v>1005</v>
      </c>
      <c r="B17" s="9" t="s">
        <v>77</v>
      </c>
      <c r="C17" s="9" t="s">
        <v>78</v>
      </c>
      <c r="D17" s="9" t="s">
        <v>79</v>
      </c>
      <c r="E17" s="9" t="s">
        <v>80</v>
      </c>
      <c r="F17" s="9" t="s">
        <v>81</v>
      </c>
    </row>
    <row r="18" spans="1:6" x14ac:dyDescent="0.3">
      <c r="A18" s="9">
        <v>1006</v>
      </c>
      <c r="B18" s="9" t="s">
        <v>77</v>
      </c>
      <c r="C18" s="9" t="s">
        <v>114</v>
      </c>
      <c r="D18" s="9" t="s">
        <v>115</v>
      </c>
      <c r="E18" s="9" t="s">
        <v>80</v>
      </c>
      <c r="F18" s="9" t="s">
        <v>81</v>
      </c>
    </row>
    <row r="19" spans="1:6" x14ac:dyDescent="0.3">
      <c r="A19" s="9">
        <v>1006</v>
      </c>
      <c r="B19" s="9" t="s">
        <v>2</v>
      </c>
      <c r="C19" s="9" t="s">
        <v>111</v>
      </c>
      <c r="D19" s="9" t="s">
        <v>23</v>
      </c>
      <c r="E19" s="9" t="s">
        <v>116</v>
      </c>
      <c r="F19" s="9" t="s">
        <v>117</v>
      </c>
    </row>
    <row r="20" spans="1:6" x14ac:dyDescent="0.3">
      <c r="A20" s="9">
        <v>1007</v>
      </c>
      <c r="B20" s="9" t="s">
        <v>4</v>
      </c>
      <c r="C20" s="9" t="s">
        <v>118</v>
      </c>
      <c r="D20" s="9" t="s">
        <v>119</v>
      </c>
      <c r="E20" s="9" t="s">
        <v>84</v>
      </c>
      <c r="F20" s="9" t="s">
        <v>85</v>
      </c>
    </row>
    <row r="21" spans="1:6" x14ac:dyDescent="0.3">
      <c r="A21" s="9">
        <v>1007</v>
      </c>
      <c r="B21" s="9" t="s">
        <v>1</v>
      </c>
      <c r="C21" s="9" t="s">
        <v>120</v>
      </c>
      <c r="D21" s="9" t="s">
        <v>29</v>
      </c>
      <c r="E21" s="9" t="s">
        <v>87</v>
      </c>
      <c r="F21" s="9" t="s">
        <v>88</v>
      </c>
    </row>
    <row r="22" spans="1:6" x14ac:dyDescent="0.3">
      <c r="A22" s="9">
        <v>1007</v>
      </c>
      <c r="B22" s="9" t="s">
        <v>77</v>
      </c>
      <c r="C22" s="9" t="s">
        <v>121</v>
      </c>
      <c r="D22" s="9" t="s">
        <v>122</v>
      </c>
      <c r="E22" s="9" t="s">
        <v>80</v>
      </c>
      <c r="F22" s="9" t="s">
        <v>81</v>
      </c>
    </row>
    <row r="23" spans="1:6" x14ac:dyDescent="0.3">
      <c r="A23" s="9">
        <v>1007</v>
      </c>
      <c r="B23" s="9" t="s">
        <v>7</v>
      </c>
      <c r="C23" s="9" t="s">
        <v>111</v>
      </c>
      <c r="D23" s="9" t="s">
        <v>25</v>
      </c>
      <c r="E23" s="9" t="s">
        <v>123</v>
      </c>
      <c r="F23" s="9" t="s">
        <v>124</v>
      </c>
    </row>
    <row r="24" spans="1:6" x14ac:dyDescent="0.3">
      <c r="A24" s="9">
        <v>1008</v>
      </c>
      <c r="B24" s="9" t="s">
        <v>4</v>
      </c>
      <c r="C24" s="9" t="s">
        <v>125</v>
      </c>
      <c r="D24" s="9" t="s">
        <v>126</v>
      </c>
      <c r="E24" s="9" t="s">
        <v>84</v>
      </c>
      <c r="F24" s="9" t="s">
        <v>85</v>
      </c>
    </row>
    <row r="25" spans="1:6" x14ac:dyDescent="0.3">
      <c r="A25" s="9">
        <v>1008</v>
      </c>
      <c r="B25" s="9" t="s">
        <v>1</v>
      </c>
      <c r="C25" s="9" t="s">
        <v>127</v>
      </c>
      <c r="D25" s="9" t="s">
        <v>31</v>
      </c>
      <c r="E25" s="9" t="s">
        <v>87</v>
      </c>
      <c r="F25" s="9" t="s">
        <v>88</v>
      </c>
    </row>
    <row r="26" spans="1:6" x14ac:dyDescent="0.3">
      <c r="A26" s="9">
        <v>1008</v>
      </c>
      <c r="B26" s="9" t="s">
        <v>77</v>
      </c>
      <c r="C26" s="9" t="s">
        <v>128</v>
      </c>
      <c r="D26" s="9" t="s">
        <v>129</v>
      </c>
      <c r="E26" s="9" t="s">
        <v>80</v>
      </c>
      <c r="F26" s="9" t="s">
        <v>81</v>
      </c>
    </row>
    <row r="27" spans="1:6" x14ac:dyDescent="0.3">
      <c r="A27" s="9">
        <v>1008</v>
      </c>
      <c r="B27" s="9" t="s">
        <v>3</v>
      </c>
      <c r="C27" s="9" t="s">
        <v>130</v>
      </c>
      <c r="D27" s="9" t="s">
        <v>33</v>
      </c>
      <c r="E27" s="9" t="s">
        <v>87</v>
      </c>
      <c r="F27" s="9" t="s">
        <v>88</v>
      </c>
    </row>
    <row r="28" spans="1:6" x14ac:dyDescent="0.3">
      <c r="A28" s="9">
        <v>1009</v>
      </c>
      <c r="B28" s="9" t="s">
        <v>8</v>
      </c>
      <c r="C28" s="9" t="s">
        <v>131</v>
      </c>
      <c r="D28" s="9" t="s">
        <v>111</v>
      </c>
      <c r="E28" s="9" t="s">
        <v>112</v>
      </c>
      <c r="F28" s="9" t="s">
        <v>113</v>
      </c>
    </row>
    <row r="29" spans="1:6" x14ac:dyDescent="0.3">
      <c r="A29" s="9">
        <v>1010</v>
      </c>
      <c r="B29" s="9" t="s">
        <v>4</v>
      </c>
      <c r="C29" s="9" t="s">
        <v>132</v>
      </c>
      <c r="D29" s="9" t="s">
        <v>133</v>
      </c>
      <c r="E29" s="9" t="s">
        <v>84</v>
      </c>
      <c r="F29" s="9" t="s">
        <v>85</v>
      </c>
    </row>
    <row r="30" spans="1:6" x14ac:dyDescent="0.3">
      <c r="A30" s="9">
        <v>1010</v>
      </c>
      <c r="B30" s="9" t="s">
        <v>1</v>
      </c>
      <c r="C30" s="9" t="s">
        <v>134</v>
      </c>
      <c r="D30" s="9" t="s">
        <v>38</v>
      </c>
      <c r="E30" s="9" t="s">
        <v>87</v>
      </c>
      <c r="F30" s="9" t="s">
        <v>88</v>
      </c>
    </row>
    <row r="31" spans="1:6" x14ac:dyDescent="0.3">
      <c r="A31" s="9">
        <v>1010</v>
      </c>
      <c r="B31" s="9" t="s">
        <v>77</v>
      </c>
      <c r="C31" s="9" t="s">
        <v>135</v>
      </c>
      <c r="D31" s="9" t="s">
        <v>136</v>
      </c>
      <c r="E31" s="9" t="s">
        <v>80</v>
      </c>
      <c r="F31" s="9" t="s">
        <v>81</v>
      </c>
    </row>
    <row r="32" spans="1:6" x14ac:dyDescent="0.3">
      <c r="A32" s="9">
        <v>1010</v>
      </c>
      <c r="B32" s="9" t="s">
        <v>3</v>
      </c>
      <c r="C32" s="9" t="s">
        <v>94</v>
      </c>
      <c r="D32" s="9" t="s">
        <v>12</v>
      </c>
      <c r="E32" s="9" t="s">
        <v>87</v>
      </c>
      <c r="F32" s="9" t="s">
        <v>88</v>
      </c>
    </row>
    <row r="33" spans="1:6" x14ac:dyDescent="0.3">
      <c r="A33" s="9">
        <v>1011</v>
      </c>
      <c r="B33" s="9" t="s">
        <v>77</v>
      </c>
      <c r="C33" s="9" t="s">
        <v>137</v>
      </c>
      <c r="D33" s="9" t="s">
        <v>138</v>
      </c>
      <c r="E33" s="9" t="s">
        <v>80</v>
      </c>
      <c r="F33" s="9" t="s">
        <v>81</v>
      </c>
    </row>
    <row r="34" spans="1:6" x14ac:dyDescent="0.3">
      <c r="A34" s="9">
        <v>1011</v>
      </c>
      <c r="B34" s="9" t="s">
        <v>7</v>
      </c>
      <c r="C34" s="9" t="s">
        <v>95</v>
      </c>
      <c r="D34" s="9" t="s">
        <v>14</v>
      </c>
      <c r="E34" s="9" t="s">
        <v>87</v>
      </c>
      <c r="F34" s="9" t="s">
        <v>88</v>
      </c>
    </row>
    <row r="35" spans="1:6" x14ac:dyDescent="0.3">
      <c r="A35" s="9">
        <v>1012</v>
      </c>
      <c r="B35" s="9" t="s">
        <v>4</v>
      </c>
      <c r="C35" s="9" t="s">
        <v>139</v>
      </c>
      <c r="D35" s="9" t="s">
        <v>140</v>
      </c>
      <c r="E35" s="9" t="s">
        <v>84</v>
      </c>
      <c r="F35" s="9" t="s">
        <v>85</v>
      </c>
    </row>
    <row r="36" spans="1:6" x14ac:dyDescent="0.3">
      <c r="A36" s="9">
        <v>1012</v>
      </c>
      <c r="B36" s="9" t="s">
        <v>1</v>
      </c>
      <c r="C36" s="9" t="s">
        <v>141</v>
      </c>
      <c r="D36" s="9" t="s">
        <v>41</v>
      </c>
      <c r="E36" s="9" t="s">
        <v>87</v>
      </c>
      <c r="F36" s="9" t="s">
        <v>88</v>
      </c>
    </row>
    <row r="37" spans="1:6" x14ac:dyDescent="0.3">
      <c r="A37" s="9">
        <v>1012</v>
      </c>
      <c r="B37" s="9" t="s">
        <v>77</v>
      </c>
      <c r="C37" s="9" t="s">
        <v>142</v>
      </c>
      <c r="D37" s="9" t="s">
        <v>143</v>
      </c>
      <c r="E37" s="9" t="s">
        <v>80</v>
      </c>
      <c r="F37" s="9" t="s">
        <v>81</v>
      </c>
    </row>
    <row r="38" spans="1:6" x14ac:dyDescent="0.3">
      <c r="A38" s="9">
        <v>1012</v>
      </c>
      <c r="B38" s="9" t="s">
        <v>2</v>
      </c>
      <c r="C38" s="9" t="s">
        <v>144</v>
      </c>
      <c r="D38" s="9" t="s">
        <v>32</v>
      </c>
      <c r="E38" s="9" t="s">
        <v>92</v>
      </c>
      <c r="F38" s="9" t="s">
        <v>93</v>
      </c>
    </row>
    <row r="39" spans="1:6" x14ac:dyDescent="0.3">
      <c r="A39" s="9">
        <v>1012</v>
      </c>
      <c r="B39" s="9" t="s">
        <v>3</v>
      </c>
      <c r="C39" s="9" t="s">
        <v>130</v>
      </c>
      <c r="D39" s="9" t="s">
        <v>33</v>
      </c>
      <c r="E39" s="9" t="s">
        <v>87</v>
      </c>
      <c r="F39" s="9" t="s">
        <v>88</v>
      </c>
    </row>
    <row r="40" spans="1:6" x14ac:dyDescent="0.3">
      <c r="A40" s="9">
        <v>1013</v>
      </c>
      <c r="B40" s="9" t="s">
        <v>77</v>
      </c>
      <c r="C40" s="9" t="s">
        <v>145</v>
      </c>
      <c r="D40" s="9" t="s">
        <v>146</v>
      </c>
      <c r="E40" s="9" t="s">
        <v>80</v>
      </c>
      <c r="F40" s="9" t="s">
        <v>81</v>
      </c>
    </row>
    <row r="41" spans="1:6" x14ac:dyDescent="0.3">
      <c r="A41" s="9">
        <v>1014</v>
      </c>
      <c r="B41" s="9" t="s">
        <v>4</v>
      </c>
      <c r="C41" s="9" t="s">
        <v>147</v>
      </c>
      <c r="D41" s="9" t="s">
        <v>148</v>
      </c>
      <c r="E41" s="9" t="s">
        <v>84</v>
      </c>
      <c r="F41" s="9" t="s">
        <v>85</v>
      </c>
    </row>
    <row r="42" spans="1:6" x14ac:dyDescent="0.3">
      <c r="A42" s="9">
        <v>1014</v>
      </c>
      <c r="B42" s="9" t="s">
        <v>1</v>
      </c>
      <c r="C42" s="9" t="s">
        <v>149</v>
      </c>
      <c r="D42" s="9" t="s">
        <v>31</v>
      </c>
      <c r="E42" s="9" t="s">
        <v>87</v>
      </c>
      <c r="F42" s="9" t="s">
        <v>88</v>
      </c>
    </row>
    <row r="43" spans="1:6" x14ac:dyDescent="0.3">
      <c r="A43" s="9">
        <v>1014</v>
      </c>
      <c r="B43" s="9" t="s">
        <v>8</v>
      </c>
      <c r="C43" s="9" t="s">
        <v>150</v>
      </c>
      <c r="D43" s="9" t="s">
        <v>111</v>
      </c>
      <c r="E43" s="9" t="s">
        <v>112</v>
      </c>
      <c r="F43" s="9" t="s">
        <v>113</v>
      </c>
    </row>
    <row r="44" spans="1:6" x14ac:dyDescent="0.3">
      <c r="A44" s="9">
        <v>1014</v>
      </c>
      <c r="B44" s="9" t="s">
        <v>77</v>
      </c>
      <c r="C44" s="9" t="s">
        <v>128</v>
      </c>
      <c r="D44" s="9" t="s">
        <v>129</v>
      </c>
      <c r="E44" s="9" t="s">
        <v>80</v>
      </c>
      <c r="F44" s="9" t="s">
        <v>81</v>
      </c>
    </row>
    <row r="45" spans="1:6" x14ac:dyDescent="0.3">
      <c r="A45" s="9">
        <v>1015</v>
      </c>
      <c r="B45" s="9" t="s">
        <v>77</v>
      </c>
      <c r="C45" s="9" t="s">
        <v>151</v>
      </c>
      <c r="D45" s="9" t="s">
        <v>152</v>
      </c>
      <c r="E45" s="9" t="s">
        <v>80</v>
      </c>
      <c r="F45" s="9" t="s">
        <v>81</v>
      </c>
    </row>
    <row r="46" spans="1:6" x14ac:dyDescent="0.3">
      <c r="A46" s="9">
        <v>1016</v>
      </c>
      <c r="B46" s="9" t="s">
        <v>77</v>
      </c>
      <c r="C46" s="9" t="s">
        <v>153</v>
      </c>
      <c r="D46" s="9" t="s">
        <v>154</v>
      </c>
      <c r="E46" s="9" t="s">
        <v>80</v>
      </c>
      <c r="F46" s="9" t="s">
        <v>81</v>
      </c>
    </row>
    <row r="47" spans="1:6" x14ac:dyDescent="0.3">
      <c r="A47" s="9">
        <v>1016</v>
      </c>
      <c r="B47" s="9" t="s">
        <v>2</v>
      </c>
      <c r="C47" s="9" t="s">
        <v>111</v>
      </c>
      <c r="D47" s="9" t="s">
        <v>18</v>
      </c>
      <c r="E47" s="9" t="s">
        <v>155</v>
      </c>
      <c r="F47" s="9" t="s">
        <v>117</v>
      </c>
    </row>
    <row r="48" spans="1:6" x14ac:dyDescent="0.3">
      <c r="A48" s="9">
        <v>1017</v>
      </c>
      <c r="B48" s="9" t="s">
        <v>4</v>
      </c>
      <c r="C48" s="9" t="s">
        <v>156</v>
      </c>
      <c r="D48" s="9" t="s">
        <v>157</v>
      </c>
      <c r="E48" s="9" t="s">
        <v>84</v>
      </c>
      <c r="F48" s="9" t="s">
        <v>85</v>
      </c>
    </row>
    <row r="49" spans="1:6" x14ac:dyDescent="0.3">
      <c r="A49" s="9">
        <v>1017</v>
      </c>
      <c r="B49" s="9" t="s">
        <v>1</v>
      </c>
      <c r="C49" s="9" t="s">
        <v>158</v>
      </c>
      <c r="D49" s="9" t="s">
        <v>22</v>
      </c>
      <c r="E49" s="9" t="s">
        <v>87</v>
      </c>
      <c r="F49" s="9" t="s">
        <v>88</v>
      </c>
    </row>
    <row r="50" spans="1:6" x14ac:dyDescent="0.3">
      <c r="A50" s="9">
        <v>1017</v>
      </c>
      <c r="B50" s="9" t="s">
        <v>77</v>
      </c>
      <c r="C50" s="9" t="s">
        <v>103</v>
      </c>
      <c r="D50" s="9" t="s">
        <v>104</v>
      </c>
      <c r="E50" s="9" t="s">
        <v>80</v>
      </c>
      <c r="F50" s="9" t="s">
        <v>81</v>
      </c>
    </row>
    <row r="51" spans="1:6" x14ac:dyDescent="0.3">
      <c r="A51" s="9">
        <v>1017</v>
      </c>
      <c r="B51" s="9" t="s">
        <v>3</v>
      </c>
      <c r="C51" s="9" t="s">
        <v>159</v>
      </c>
      <c r="D51" s="9" t="s">
        <v>24</v>
      </c>
      <c r="E51" s="9" t="s">
        <v>87</v>
      </c>
      <c r="F51" s="9" t="s">
        <v>88</v>
      </c>
    </row>
    <row r="52" spans="1:6" x14ac:dyDescent="0.3">
      <c r="A52" s="9">
        <v>1018</v>
      </c>
      <c r="B52" s="9" t="s">
        <v>77</v>
      </c>
      <c r="C52" s="9" t="s">
        <v>160</v>
      </c>
      <c r="D52" s="9" t="s">
        <v>161</v>
      </c>
      <c r="E52" s="9" t="s">
        <v>80</v>
      </c>
      <c r="F52" s="9" t="s">
        <v>81</v>
      </c>
    </row>
    <row r="53" spans="1:6" x14ac:dyDescent="0.3">
      <c r="A53" s="9">
        <v>1019</v>
      </c>
      <c r="B53" s="9" t="s">
        <v>4</v>
      </c>
      <c r="C53" s="9" t="s">
        <v>162</v>
      </c>
      <c r="D53" s="9" t="s">
        <v>163</v>
      </c>
      <c r="E53" s="9" t="s">
        <v>84</v>
      </c>
      <c r="F53" s="9" t="s">
        <v>85</v>
      </c>
    </row>
    <row r="54" spans="1:6" x14ac:dyDescent="0.3">
      <c r="A54" s="9">
        <v>1019</v>
      </c>
      <c r="B54" s="9" t="s">
        <v>1</v>
      </c>
      <c r="C54" s="9" t="s">
        <v>164</v>
      </c>
      <c r="D54" s="9" t="s">
        <v>47</v>
      </c>
      <c r="E54" s="9" t="s">
        <v>87</v>
      </c>
      <c r="F54" s="9" t="s">
        <v>88</v>
      </c>
    </row>
    <row r="55" spans="1:6" x14ac:dyDescent="0.3">
      <c r="A55" s="9">
        <v>1019</v>
      </c>
      <c r="B55" s="9" t="s">
        <v>77</v>
      </c>
      <c r="C55" s="9" t="s">
        <v>165</v>
      </c>
      <c r="D55" s="9" t="s">
        <v>166</v>
      </c>
      <c r="E55" s="9" t="s">
        <v>80</v>
      </c>
      <c r="F55" s="9" t="s">
        <v>81</v>
      </c>
    </row>
    <row r="56" spans="1:6" x14ac:dyDescent="0.3">
      <c r="A56" s="9">
        <v>1019</v>
      </c>
      <c r="B56" s="9" t="s">
        <v>2</v>
      </c>
      <c r="C56" s="9" t="s">
        <v>167</v>
      </c>
      <c r="D56" s="9" t="s">
        <v>18</v>
      </c>
      <c r="E56" s="9" t="s">
        <v>92</v>
      </c>
      <c r="F56" s="9" t="s">
        <v>93</v>
      </c>
    </row>
    <row r="57" spans="1:6" x14ac:dyDescent="0.3">
      <c r="A57" s="9">
        <v>1019</v>
      </c>
      <c r="B57" s="9" t="s">
        <v>3</v>
      </c>
      <c r="C57" s="9" t="s">
        <v>168</v>
      </c>
      <c r="D57" s="9" t="s">
        <v>19</v>
      </c>
      <c r="E57" s="9" t="s">
        <v>87</v>
      </c>
      <c r="F57" s="9" t="s">
        <v>88</v>
      </c>
    </row>
    <row r="58" spans="1:6" x14ac:dyDescent="0.3">
      <c r="A58" s="9">
        <v>1019</v>
      </c>
      <c r="B58" s="9" t="s">
        <v>7</v>
      </c>
      <c r="C58" s="9" t="s">
        <v>169</v>
      </c>
      <c r="D58" s="9" t="s">
        <v>14</v>
      </c>
      <c r="E58" s="9" t="s">
        <v>170</v>
      </c>
      <c r="F58" s="9" t="s">
        <v>171</v>
      </c>
    </row>
    <row r="59" spans="1:6" x14ac:dyDescent="0.3">
      <c r="A59" s="9">
        <v>1020</v>
      </c>
      <c r="B59" s="9" t="s">
        <v>77</v>
      </c>
      <c r="C59" s="9" t="s">
        <v>172</v>
      </c>
      <c r="D59" s="9" t="s">
        <v>173</v>
      </c>
      <c r="E59" s="9" t="s">
        <v>80</v>
      </c>
      <c r="F59" s="9" t="s">
        <v>81</v>
      </c>
    </row>
    <row r="60" spans="1:6" x14ac:dyDescent="0.3">
      <c r="A60" s="9">
        <v>1021</v>
      </c>
      <c r="B60" s="9" t="s">
        <v>8</v>
      </c>
      <c r="C60" s="9" t="s">
        <v>131</v>
      </c>
      <c r="D60" s="9" t="s">
        <v>111</v>
      </c>
      <c r="E60" s="9" t="s">
        <v>112</v>
      </c>
      <c r="F60" s="9" t="s">
        <v>113</v>
      </c>
    </row>
    <row r="61" spans="1:6" x14ac:dyDescent="0.3">
      <c r="A61" s="9">
        <v>1022</v>
      </c>
      <c r="B61" s="9" t="s">
        <v>4</v>
      </c>
      <c r="C61" s="9" t="s">
        <v>174</v>
      </c>
      <c r="D61" s="9" t="s">
        <v>175</v>
      </c>
      <c r="E61" s="9" t="s">
        <v>84</v>
      </c>
      <c r="F61" s="9" t="s">
        <v>85</v>
      </c>
    </row>
    <row r="62" spans="1:6" x14ac:dyDescent="0.3">
      <c r="A62" s="9">
        <v>1022</v>
      </c>
      <c r="B62" s="9" t="s">
        <v>1</v>
      </c>
      <c r="C62" s="9" t="s">
        <v>176</v>
      </c>
      <c r="D62" s="9" t="s">
        <v>50</v>
      </c>
      <c r="E62" s="9" t="s">
        <v>87</v>
      </c>
      <c r="F62" s="9" t="s">
        <v>88</v>
      </c>
    </row>
    <row r="63" spans="1:6" x14ac:dyDescent="0.3">
      <c r="A63" s="9">
        <v>1022</v>
      </c>
      <c r="B63" s="9" t="s">
        <v>77</v>
      </c>
      <c r="C63" s="9" t="s">
        <v>177</v>
      </c>
      <c r="D63" s="9" t="s">
        <v>178</v>
      </c>
      <c r="E63" s="9" t="s">
        <v>80</v>
      </c>
      <c r="F63" s="9" t="s">
        <v>81</v>
      </c>
    </row>
    <row r="64" spans="1:6" x14ac:dyDescent="0.3">
      <c r="A64" s="9">
        <v>1022</v>
      </c>
      <c r="B64" s="9" t="s">
        <v>2</v>
      </c>
      <c r="C64" s="9" t="s">
        <v>179</v>
      </c>
      <c r="D64" s="9" t="s">
        <v>39</v>
      </c>
      <c r="E64" s="9" t="s">
        <v>92</v>
      </c>
      <c r="F64" s="9" t="s">
        <v>93</v>
      </c>
    </row>
    <row r="65" spans="1:6" x14ac:dyDescent="0.3">
      <c r="A65" s="9">
        <v>1022</v>
      </c>
      <c r="B65" s="9" t="s">
        <v>3</v>
      </c>
      <c r="C65" s="9" t="s">
        <v>180</v>
      </c>
      <c r="D65" s="9" t="s">
        <v>12</v>
      </c>
      <c r="E65" s="9" t="s">
        <v>87</v>
      </c>
      <c r="F65" s="9" t="s">
        <v>88</v>
      </c>
    </row>
    <row r="66" spans="1:6" x14ac:dyDescent="0.3">
      <c r="A66" s="9">
        <v>1023</v>
      </c>
      <c r="B66" s="9" t="s">
        <v>77</v>
      </c>
      <c r="C66" s="9" t="s">
        <v>181</v>
      </c>
      <c r="D66" s="9" t="s">
        <v>182</v>
      </c>
      <c r="E66" s="9" t="s">
        <v>80</v>
      </c>
      <c r="F66" s="9" t="s">
        <v>81</v>
      </c>
    </row>
    <row r="67" spans="1:6" x14ac:dyDescent="0.3">
      <c r="A67" s="9">
        <v>1024</v>
      </c>
      <c r="B67" s="9" t="s">
        <v>4</v>
      </c>
      <c r="C67" s="9" t="s">
        <v>183</v>
      </c>
      <c r="D67" s="9" t="s">
        <v>184</v>
      </c>
      <c r="E67" s="9" t="s">
        <v>84</v>
      </c>
      <c r="F67" s="9" t="s">
        <v>85</v>
      </c>
    </row>
    <row r="68" spans="1:6" x14ac:dyDescent="0.3">
      <c r="A68" s="9">
        <v>1024</v>
      </c>
      <c r="B68" s="9" t="s">
        <v>77</v>
      </c>
      <c r="C68" s="9" t="s">
        <v>185</v>
      </c>
      <c r="D68" s="9" t="s">
        <v>186</v>
      </c>
      <c r="E68" s="9" t="s">
        <v>80</v>
      </c>
      <c r="F68" s="9" t="s">
        <v>81</v>
      </c>
    </row>
    <row r="69" spans="1:6" x14ac:dyDescent="0.3">
      <c r="A69" s="9">
        <v>1025</v>
      </c>
      <c r="B69" s="9" t="s">
        <v>1</v>
      </c>
      <c r="C69" s="9" t="s">
        <v>120</v>
      </c>
      <c r="D69" s="9" t="s">
        <v>29</v>
      </c>
      <c r="E69" s="9" t="s">
        <v>87</v>
      </c>
      <c r="F69" s="9" t="s">
        <v>88</v>
      </c>
    </row>
    <row r="70" spans="1:6" x14ac:dyDescent="0.3">
      <c r="A70" s="9">
        <v>1025</v>
      </c>
      <c r="B70" s="9" t="s">
        <v>77</v>
      </c>
      <c r="C70" s="9" t="s">
        <v>121</v>
      </c>
      <c r="D70" s="9" t="s">
        <v>122</v>
      </c>
      <c r="E70" s="9" t="s">
        <v>80</v>
      </c>
      <c r="F70" s="9" t="s">
        <v>81</v>
      </c>
    </row>
    <row r="71" spans="1:6" x14ac:dyDescent="0.3">
      <c r="A71" s="9">
        <v>1026</v>
      </c>
      <c r="B71" s="9" t="s">
        <v>4</v>
      </c>
      <c r="C71" s="9" t="s">
        <v>187</v>
      </c>
      <c r="D71" s="9" t="s">
        <v>188</v>
      </c>
      <c r="E71" s="9" t="s">
        <v>84</v>
      </c>
      <c r="F71" s="9" t="s">
        <v>85</v>
      </c>
    </row>
    <row r="72" spans="1:6" x14ac:dyDescent="0.3">
      <c r="A72" s="9">
        <v>1026</v>
      </c>
      <c r="B72" s="9" t="s">
        <v>1</v>
      </c>
      <c r="C72" s="9" t="s">
        <v>189</v>
      </c>
      <c r="D72" s="9" t="s">
        <v>36</v>
      </c>
      <c r="E72" s="9" t="s">
        <v>87</v>
      </c>
      <c r="F72" s="9" t="s">
        <v>88</v>
      </c>
    </row>
    <row r="73" spans="1:6" x14ac:dyDescent="0.3">
      <c r="A73" s="9">
        <v>1026</v>
      </c>
      <c r="B73" s="9" t="s">
        <v>77</v>
      </c>
      <c r="C73" s="9" t="s">
        <v>190</v>
      </c>
      <c r="D73" s="9" t="s">
        <v>191</v>
      </c>
      <c r="E73" s="9" t="s">
        <v>80</v>
      </c>
      <c r="F73" s="9" t="s">
        <v>81</v>
      </c>
    </row>
    <row r="74" spans="1:6" x14ac:dyDescent="0.3">
      <c r="A74" s="9">
        <v>1026</v>
      </c>
      <c r="B74" s="9" t="s">
        <v>7</v>
      </c>
      <c r="C74" s="9" t="s">
        <v>95</v>
      </c>
      <c r="D74" s="9" t="s">
        <v>14</v>
      </c>
      <c r="E74" s="9" t="s">
        <v>87</v>
      </c>
      <c r="F74" s="9" t="s">
        <v>88</v>
      </c>
    </row>
    <row r="75" spans="1:6" x14ac:dyDescent="0.3">
      <c r="A75" s="9">
        <v>1027</v>
      </c>
      <c r="B75" s="9" t="s">
        <v>8</v>
      </c>
      <c r="C75" s="9" t="s">
        <v>192</v>
      </c>
      <c r="D75" s="9" t="s">
        <v>111</v>
      </c>
      <c r="E75" s="9" t="s">
        <v>112</v>
      </c>
      <c r="F75" s="9" t="s">
        <v>113</v>
      </c>
    </row>
    <row r="76" spans="1:6" x14ac:dyDescent="0.3">
      <c r="A76" s="9">
        <v>1027</v>
      </c>
      <c r="B76" s="9" t="s">
        <v>77</v>
      </c>
      <c r="C76" s="9" t="s">
        <v>193</v>
      </c>
      <c r="D76" s="9" t="s">
        <v>194</v>
      </c>
      <c r="E76" s="9" t="s">
        <v>80</v>
      </c>
      <c r="F76" s="9" t="s">
        <v>81</v>
      </c>
    </row>
    <row r="77" spans="1:6" x14ac:dyDescent="0.3">
      <c r="A77" s="9">
        <v>1027</v>
      </c>
      <c r="B77" s="9" t="s">
        <v>3</v>
      </c>
      <c r="C77" s="9" t="s">
        <v>111</v>
      </c>
      <c r="D77" s="9" t="s">
        <v>12</v>
      </c>
      <c r="E77" s="9" t="s">
        <v>195</v>
      </c>
      <c r="F77" s="9" t="s">
        <v>117</v>
      </c>
    </row>
    <row r="78" spans="1:6" x14ac:dyDescent="0.3">
      <c r="A78" s="9">
        <v>1028</v>
      </c>
      <c r="B78" s="9" t="s">
        <v>77</v>
      </c>
      <c r="C78" s="9" t="s">
        <v>196</v>
      </c>
      <c r="D78" s="9" t="s">
        <v>197</v>
      </c>
      <c r="E78" s="9" t="s">
        <v>80</v>
      </c>
      <c r="F78" s="9" t="s">
        <v>81</v>
      </c>
    </row>
    <row r="79" spans="1:6" x14ac:dyDescent="0.3">
      <c r="A79" s="9">
        <v>1029</v>
      </c>
      <c r="B79" s="9" t="s">
        <v>4</v>
      </c>
      <c r="C79" s="9" t="s">
        <v>198</v>
      </c>
      <c r="D79" s="9" t="s">
        <v>199</v>
      </c>
      <c r="E79" s="9" t="s">
        <v>84</v>
      </c>
      <c r="F79" s="9" t="s">
        <v>85</v>
      </c>
    </row>
    <row r="80" spans="1:6" x14ac:dyDescent="0.3">
      <c r="A80" s="9">
        <v>1029</v>
      </c>
      <c r="B80" s="9" t="s">
        <v>1</v>
      </c>
      <c r="C80" s="9" t="s">
        <v>200</v>
      </c>
      <c r="D80" s="9" t="s">
        <v>27</v>
      </c>
      <c r="E80" s="9" t="s">
        <v>87</v>
      </c>
      <c r="F80" s="9" t="s">
        <v>88</v>
      </c>
    </row>
    <row r="81" spans="1:6" x14ac:dyDescent="0.3">
      <c r="A81" s="9">
        <v>1029</v>
      </c>
      <c r="B81" s="9" t="s">
        <v>8</v>
      </c>
      <c r="C81" s="9" t="s">
        <v>150</v>
      </c>
      <c r="D81" s="9" t="s">
        <v>111</v>
      </c>
      <c r="E81" s="9" t="s">
        <v>112</v>
      </c>
      <c r="F81" s="9" t="s">
        <v>113</v>
      </c>
    </row>
    <row r="82" spans="1:6" x14ac:dyDescent="0.3">
      <c r="A82" s="9">
        <v>1029</v>
      </c>
      <c r="B82" s="9" t="s">
        <v>77</v>
      </c>
      <c r="C82" s="9" t="s">
        <v>114</v>
      </c>
      <c r="D82" s="9" t="s">
        <v>115</v>
      </c>
      <c r="E82" s="9" t="s">
        <v>80</v>
      </c>
      <c r="F82" s="9" t="s">
        <v>81</v>
      </c>
    </row>
    <row r="83" spans="1:6" x14ac:dyDescent="0.3">
      <c r="A83" s="9">
        <v>1029</v>
      </c>
      <c r="B83" s="9" t="s">
        <v>2</v>
      </c>
      <c r="C83" s="9" t="s">
        <v>201</v>
      </c>
      <c r="D83" s="9" t="s">
        <v>23</v>
      </c>
      <c r="E83" s="9" t="s">
        <v>92</v>
      </c>
      <c r="F83" s="9" t="s">
        <v>93</v>
      </c>
    </row>
    <row r="84" spans="1:6" x14ac:dyDescent="0.3">
      <c r="A84" s="9">
        <v>1030</v>
      </c>
      <c r="B84" s="9" t="s">
        <v>4</v>
      </c>
      <c r="C84" s="9" t="s">
        <v>202</v>
      </c>
      <c r="D84" s="9" t="s">
        <v>203</v>
      </c>
      <c r="E84" s="9" t="s">
        <v>84</v>
      </c>
      <c r="F84" s="9" t="s">
        <v>85</v>
      </c>
    </row>
    <row r="85" spans="1:6" x14ac:dyDescent="0.3">
      <c r="A85" s="9">
        <v>1030</v>
      </c>
      <c r="B85" s="9" t="s">
        <v>1</v>
      </c>
      <c r="C85" s="9" t="s">
        <v>204</v>
      </c>
      <c r="D85" s="9" t="s">
        <v>57</v>
      </c>
      <c r="E85" s="9" t="s">
        <v>87</v>
      </c>
      <c r="F85" s="9" t="s">
        <v>88</v>
      </c>
    </row>
    <row r="86" spans="1:6" x14ac:dyDescent="0.3">
      <c r="A86" s="9">
        <v>1030</v>
      </c>
      <c r="B86" s="9" t="s">
        <v>77</v>
      </c>
      <c r="C86" s="9" t="s">
        <v>205</v>
      </c>
      <c r="D86" s="9" t="s">
        <v>206</v>
      </c>
      <c r="E86" s="9" t="s">
        <v>80</v>
      </c>
      <c r="F86" s="9" t="s">
        <v>81</v>
      </c>
    </row>
    <row r="87" spans="1:6" x14ac:dyDescent="0.3">
      <c r="A87" s="9">
        <v>1030</v>
      </c>
      <c r="B87" s="9" t="s">
        <v>2</v>
      </c>
      <c r="C87" s="9" t="s">
        <v>101</v>
      </c>
      <c r="D87" s="9" t="s">
        <v>18</v>
      </c>
      <c r="E87" s="9" t="s">
        <v>92</v>
      </c>
      <c r="F87" s="9" t="s">
        <v>93</v>
      </c>
    </row>
    <row r="88" spans="1:6" x14ac:dyDescent="0.3">
      <c r="A88" s="9">
        <v>1030</v>
      </c>
      <c r="B88" s="9" t="s">
        <v>3</v>
      </c>
      <c r="C88" s="9" t="s">
        <v>102</v>
      </c>
      <c r="D88" s="9" t="s">
        <v>19</v>
      </c>
      <c r="E88" s="9" t="s">
        <v>87</v>
      </c>
      <c r="F88" s="9" t="s">
        <v>88</v>
      </c>
    </row>
  </sheetData>
  <autoFilter ref="A1:F8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0" customWidth="1"/>
    <col min="3" max="3" width="70" customWidth="1"/>
    <col min="4" max="4" width="50" customWidth="1"/>
    <col min="5" max="5" width="16" customWidth="1"/>
  </cols>
  <sheetData>
    <row r="1" spans="1:5" ht="27.6" x14ac:dyDescent="0.3">
      <c r="A1" s="1" t="s">
        <v>207</v>
      </c>
      <c r="B1" s="1" t="s">
        <v>208</v>
      </c>
      <c r="C1" s="1" t="s">
        <v>209</v>
      </c>
      <c r="D1" s="1" t="s">
        <v>210</v>
      </c>
      <c r="E1" s="1" t="s">
        <v>211</v>
      </c>
    </row>
    <row r="2" spans="1:5" x14ac:dyDescent="0.3">
      <c r="A2" s="9" t="s">
        <v>212</v>
      </c>
      <c r="B2" s="9" t="s">
        <v>213</v>
      </c>
      <c r="C2" s="9" t="s">
        <v>214</v>
      </c>
      <c r="D2" s="9" t="s">
        <v>215</v>
      </c>
      <c r="E2" s="17"/>
    </row>
    <row r="3" spans="1:5" x14ac:dyDescent="0.3">
      <c r="A3" s="9" t="s">
        <v>216</v>
      </c>
      <c r="B3" s="9" t="s">
        <v>213</v>
      </c>
      <c r="C3" s="9" t="s">
        <v>217</v>
      </c>
      <c r="D3" s="9" t="s">
        <v>215</v>
      </c>
      <c r="E3" s="17"/>
    </row>
    <row r="4" spans="1:5" x14ac:dyDescent="0.3">
      <c r="A4" s="9" t="s">
        <v>218</v>
      </c>
      <c r="B4" s="9" t="s">
        <v>213</v>
      </c>
      <c r="C4" s="9" t="s">
        <v>219</v>
      </c>
      <c r="D4" s="9" t="s">
        <v>215</v>
      </c>
      <c r="E4" s="17"/>
    </row>
    <row r="5" spans="1:5" x14ac:dyDescent="0.3">
      <c r="A5" s="9" t="s">
        <v>220</v>
      </c>
      <c r="B5" s="9" t="s">
        <v>213</v>
      </c>
      <c r="C5" s="9" t="s">
        <v>221</v>
      </c>
      <c r="D5" s="9" t="s">
        <v>215</v>
      </c>
      <c r="E5" s="17"/>
    </row>
    <row r="6" spans="1:5" x14ac:dyDescent="0.3">
      <c r="A6" s="9" t="s">
        <v>222</v>
      </c>
      <c r="B6" s="9" t="s">
        <v>37</v>
      </c>
      <c r="C6" s="9" t="s">
        <v>223</v>
      </c>
      <c r="D6" s="9" t="s">
        <v>224</v>
      </c>
      <c r="E6" s="17"/>
    </row>
    <row r="7" spans="1:5" x14ac:dyDescent="0.3">
      <c r="A7" s="9" t="s">
        <v>225</v>
      </c>
      <c r="B7" s="9" t="s">
        <v>37</v>
      </c>
      <c r="C7" s="9" t="s">
        <v>226</v>
      </c>
      <c r="D7" s="9" t="s">
        <v>224</v>
      </c>
      <c r="E7" s="17"/>
    </row>
    <row r="9" spans="1:5" x14ac:dyDescent="0.3">
      <c r="A9" s="16" t="s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Vendas Tratadas</vt:lpstr>
      <vt:lpstr>Resumo</vt:lpstr>
      <vt:lpstr>Log de Correções</vt:lpstr>
      <vt:lpstr>Pendências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Chagas</cp:lastModifiedBy>
  <dcterms:created xsi:type="dcterms:W3CDTF">2026-09-25T00:13:32Z</dcterms:created>
  <dcterms:modified xsi:type="dcterms:W3CDTF">2026-09-25T00:13:36Z</dcterms:modified>
</cp:coreProperties>
</file>